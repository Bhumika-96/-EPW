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Bhumika 4-5\"/>
    </mc:Choice>
  </mc:AlternateContent>
  <xr:revisionPtr revIDLastSave="0" documentId="13_ncr:1_{BC8542A6-AF9E-468D-BC75-7552E2D9640E}" xr6:coauthVersionLast="47" xr6:coauthVersionMax="47" xr10:uidLastSave="{00000000-0000-0000-0000-000000000000}"/>
  <bookViews>
    <workbookView xWindow="-110" yWindow="-110" windowWidth="19420" windowHeight="10420" activeTab="1" xr2:uid="{614B0B37-5E4C-4A0C-ACF5-BECC15D24F8D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7" i="2" l="1"/>
  <c r="K9" i="2"/>
  <c r="J5" i="2"/>
  <c r="K5" i="2" s="1"/>
  <c r="J6" i="2"/>
  <c r="K6" i="2" s="1"/>
  <c r="J7" i="2"/>
  <c r="J8" i="2"/>
  <c r="K8" i="2" s="1"/>
  <c r="J9" i="2"/>
  <c r="J10" i="2"/>
  <c r="K10" i="2" s="1"/>
  <c r="J11" i="2"/>
  <c r="K11" i="2" s="1"/>
  <c r="J12" i="2"/>
  <c r="K12" i="2" s="1"/>
  <c r="J13" i="2"/>
  <c r="K13" i="2" s="1"/>
  <c r="J4" i="2"/>
  <c r="K4" i="2" s="1"/>
  <c r="K6" i="1"/>
  <c r="K9" i="1"/>
  <c r="J5" i="1"/>
  <c r="K5" i="1" s="1"/>
  <c r="J6" i="1"/>
  <c r="J7" i="1"/>
  <c r="K7" i="1" s="1"/>
  <c r="J8" i="1"/>
  <c r="K8" i="1" s="1"/>
  <c r="J9" i="1"/>
  <c r="J10" i="1"/>
  <c r="K10" i="1" s="1"/>
  <c r="J11" i="1"/>
  <c r="K11" i="1" s="1"/>
  <c r="J12" i="1"/>
  <c r="K12" i="1" s="1"/>
  <c r="J13" i="1"/>
  <c r="K13" i="1" s="1"/>
  <c r="J4" i="1"/>
  <c r="K4" i="1" s="1"/>
</calcChain>
</file>

<file path=xl/sharedStrings.xml><?xml version="1.0" encoding="utf-8"?>
<sst xmlns="http://schemas.openxmlformats.org/spreadsheetml/2006/main" count="58" uniqueCount="26">
  <si>
    <t>12th</t>
  </si>
  <si>
    <t>Sno.</t>
  </si>
  <si>
    <t>Name</t>
  </si>
  <si>
    <t>Class</t>
  </si>
  <si>
    <t xml:space="preserve">hindi </t>
  </si>
  <si>
    <t>english</t>
  </si>
  <si>
    <t>maths</t>
  </si>
  <si>
    <t>science</t>
  </si>
  <si>
    <t>sst</t>
  </si>
  <si>
    <t>computer</t>
  </si>
  <si>
    <t>total</t>
  </si>
  <si>
    <t>percentage</t>
  </si>
  <si>
    <t>MARKSHEET</t>
  </si>
  <si>
    <t>BHUMIKA</t>
  </si>
  <si>
    <t>ANURADHA</t>
  </si>
  <si>
    <t>AMAN</t>
  </si>
  <si>
    <t>DEEPAK</t>
  </si>
  <si>
    <t>RIYA</t>
  </si>
  <si>
    <t>JAGRUTI</t>
  </si>
  <si>
    <t>MD YUSUF</t>
  </si>
  <si>
    <t>SUMIT</t>
  </si>
  <si>
    <t>ANMIKA</t>
  </si>
  <si>
    <t>PRIYANKA</t>
  </si>
  <si>
    <t>SAURAV</t>
  </si>
  <si>
    <t>RAJ</t>
  </si>
  <si>
    <t>11TH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</si>
</sst>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511703848384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3" borderId="5" xfId="0" applyFill="1" applyBorder="1"/>
    <xf numFmtId="0" fontId="0" fillId="3" borderId="1" xfId="0" applyFill="1" applyBorder="1"/>
    <xf numFmtId="0" fontId="0" fillId="3" borderId="6" xfId="0" applyFill="1" applyBorder="1"/>
  </cellXfs>
  <cellStyles count="1">
    <cellStyle name="Normal" xfId="0" builtinId="0"/>
  </cellStyles>
  <dxfs count="8"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79995117038483843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79995117038483843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79995117038483843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EEF5-4737-42BF-947F-DA157272446C}">
  <dimension ref="A1:K13"/>
  <sheetViews>
    <sheetView workbookViewId="0">
      <selection activeCell="N13" sqref="N13"/>
    </sheetView>
  </sheetViews>
  <sheetFormatPr defaultRowHeight="14.5" x14ac:dyDescent="0.35"/>
  <cols>
    <col min="2" max="2" width="10.54296875" bestFit="1" customWidth="1"/>
    <col min="9" max="9" width="11.6328125" customWidth="1"/>
    <col min="11" max="11" width="10.08984375" bestFit="1" customWidth="1"/>
  </cols>
  <sheetData>
    <row r="1" spans="1:11" x14ac:dyDescent="0.35">
      <c r="A1" s="12" t="s">
        <v>12</v>
      </c>
      <c r="B1" s="7"/>
      <c r="C1" s="7"/>
      <c r="D1" s="7"/>
      <c r="E1" s="7"/>
      <c r="F1" s="7"/>
      <c r="G1" s="7"/>
      <c r="H1" s="7"/>
      <c r="I1" s="7"/>
      <c r="J1" s="7"/>
      <c r="K1" s="8"/>
    </row>
    <row r="2" spans="1:11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1"/>
    </row>
    <row r="3" spans="1:11" ht="14.5" customHeight="1" x14ac:dyDescent="0.35">
      <c r="A3" s="13" t="s">
        <v>1</v>
      </c>
      <c r="B3" s="14" t="s">
        <v>2</v>
      </c>
      <c r="C3" s="14" t="s">
        <v>3</v>
      </c>
      <c r="D3" s="14" t="s">
        <v>4</v>
      </c>
      <c r="E3" s="14" t="s">
        <v>5</v>
      </c>
      <c r="F3" s="14" t="s">
        <v>6</v>
      </c>
      <c r="G3" s="14" t="s">
        <v>7</v>
      </c>
      <c r="H3" s="14" t="s">
        <v>8</v>
      </c>
      <c r="I3" s="14" t="s">
        <v>9</v>
      </c>
      <c r="J3" s="14" t="s">
        <v>10</v>
      </c>
      <c r="K3" s="15" t="s">
        <v>11</v>
      </c>
    </row>
    <row r="4" spans="1:11" x14ac:dyDescent="0.35">
      <c r="A4" s="2">
        <v>1</v>
      </c>
      <c r="B4" s="1" t="s">
        <v>15</v>
      </c>
      <c r="C4" s="1" t="s">
        <v>25</v>
      </c>
      <c r="D4" s="1">
        <v>12</v>
      </c>
      <c r="E4" s="1">
        <v>11</v>
      </c>
      <c r="F4" s="1">
        <v>78</v>
      </c>
      <c r="G4" s="1">
        <v>93</v>
      </c>
      <c r="H4" s="1">
        <v>36</v>
      </c>
      <c r="I4" s="1">
        <v>86</v>
      </c>
      <c r="J4" s="1">
        <f>SUM(D4:I4)</f>
        <v>316</v>
      </c>
      <c r="K4" s="3">
        <f>(J4/6)</f>
        <v>52.666666666666664</v>
      </c>
    </row>
    <row r="5" spans="1:11" x14ac:dyDescent="0.35">
      <c r="A5" s="2">
        <v>2</v>
      </c>
      <c r="B5" s="1" t="s">
        <v>13</v>
      </c>
      <c r="C5" s="1" t="s">
        <v>25</v>
      </c>
      <c r="D5" s="1">
        <v>7</v>
      </c>
      <c r="E5" s="1">
        <v>40</v>
      </c>
      <c r="F5" s="1">
        <v>91</v>
      </c>
      <c r="G5" s="1">
        <v>92</v>
      </c>
      <c r="H5" s="1">
        <v>87</v>
      </c>
      <c r="I5" s="1">
        <v>92</v>
      </c>
      <c r="J5" s="1">
        <f t="shared" ref="J5:J13" si="0">SUM(D5:I5)</f>
        <v>409</v>
      </c>
      <c r="K5" s="3">
        <f t="shared" ref="K5:K12" si="1">(J5/6)</f>
        <v>68.166666666666671</v>
      </c>
    </row>
    <row r="6" spans="1:11" x14ac:dyDescent="0.35">
      <c r="A6" s="2">
        <v>3</v>
      </c>
      <c r="B6" s="1" t="s">
        <v>14</v>
      </c>
      <c r="C6" s="1" t="s">
        <v>25</v>
      </c>
      <c r="D6" s="1">
        <v>29</v>
      </c>
      <c r="E6" s="1">
        <v>78</v>
      </c>
      <c r="F6" s="1">
        <v>87</v>
      </c>
      <c r="G6" s="1">
        <v>27</v>
      </c>
      <c r="H6" s="1">
        <v>27</v>
      </c>
      <c r="I6" s="1">
        <v>0</v>
      </c>
      <c r="J6" s="1">
        <f t="shared" si="0"/>
        <v>248</v>
      </c>
      <c r="K6" s="3">
        <f t="shared" si="1"/>
        <v>41.333333333333336</v>
      </c>
    </row>
    <row r="7" spans="1:11" x14ac:dyDescent="0.35">
      <c r="A7" s="2">
        <v>4</v>
      </c>
      <c r="B7" s="1" t="s">
        <v>20</v>
      </c>
      <c r="C7" s="1" t="s">
        <v>25</v>
      </c>
      <c r="D7" s="1">
        <v>50</v>
      </c>
      <c r="E7" s="1">
        <v>80</v>
      </c>
      <c r="F7" s="1">
        <v>59</v>
      </c>
      <c r="G7" s="1">
        <v>41</v>
      </c>
      <c r="H7" s="1">
        <v>53</v>
      </c>
      <c r="I7" s="1">
        <v>87</v>
      </c>
      <c r="J7" s="1">
        <f t="shared" si="0"/>
        <v>370</v>
      </c>
      <c r="K7" s="3">
        <f t="shared" si="1"/>
        <v>61.666666666666664</v>
      </c>
    </row>
    <row r="8" spans="1:11" x14ac:dyDescent="0.35">
      <c r="A8" s="2">
        <v>5</v>
      </c>
      <c r="B8" s="1" t="s">
        <v>16</v>
      </c>
      <c r="C8" s="1" t="s">
        <v>25</v>
      </c>
      <c r="D8" s="1">
        <v>92</v>
      </c>
      <c r="E8" s="1">
        <v>76</v>
      </c>
      <c r="F8" s="1">
        <v>41</v>
      </c>
      <c r="G8" s="1">
        <v>21</v>
      </c>
      <c r="H8" s="1">
        <v>26</v>
      </c>
      <c r="I8" s="1">
        <v>50</v>
      </c>
      <c r="J8" s="1">
        <f t="shared" si="0"/>
        <v>306</v>
      </c>
      <c r="K8" s="3">
        <f t="shared" si="1"/>
        <v>51</v>
      </c>
    </row>
    <row r="9" spans="1:11" x14ac:dyDescent="0.35">
      <c r="A9" s="2">
        <v>6</v>
      </c>
      <c r="B9" s="1" t="s">
        <v>21</v>
      </c>
      <c r="C9" s="1" t="s">
        <v>25</v>
      </c>
      <c r="D9" s="1">
        <v>92</v>
      </c>
      <c r="E9" s="1">
        <v>94</v>
      </c>
      <c r="F9" s="1">
        <v>21</v>
      </c>
      <c r="G9" s="1">
        <v>38</v>
      </c>
      <c r="H9" s="1">
        <v>96</v>
      </c>
      <c r="I9" s="1">
        <v>45</v>
      </c>
      <c r="J9" s="1">
        <f t="shared" si="0"/>
        <v>386</v>
      </c>
      <c r="K9" s="3">
        <f t="shared" si="1"/>
        <v>64.333333333333329</v>
      </c>
    </row>
    <row r="10" spans="1:11" x14ac:dyDescent="0.35">
      <c r="A10" s="2">
        <v>7</v>
      </c>
      <c r="B10" s="1" t="s">
        <v>22</v>
      </c>
      <c r="C10" s="1" t="s">
        <v>25</v>
      </c>
      <c r="D10" s="1">
        <v>23</v>
      </c>
      <c r="E10" s="1">
        <v>77</v>
      </c>
      <c r="F10" s="1">
        <v>63</v>
      </c>
      <c r="G10" s="1">
        <v>97</v>
      </c>
      <c r="H10" s="1">
        <v>1</v>
      </c>
      <c r="I10" s="1">
        <v>90</v>
      </c>
      <c r="J10" s="1">
        <f t="shared" si="0"/>
        <v>351</v>
      </c>
      <c r="K10" s="3">
        <f t="shared" si="1"/>
        <v>58.5</v>
      </c>
    </row>
    <row r="11" spans="1:11" x14ac:dyDescent="0.35">
      <c r="A11" s="2">
        <v>8</v>
      </c>
      <c r="B11" s="1" t="s">
        <v>23</v>
      </c>
      <c r="C11" s="1" t="s">
        <v>25</v>
      </c>
      <c r="D11" s="1">
        <v>61</v>
      </c>
      <c r="E11" s="1">
        <v>85</v>
      </c>
      <c r="F11" s="1">
        <v>8</v>
      </c>
      <c r="G11" s="1">
        <v>45</v>
      </c>
      <c r="H11" s="1">
        <v>69</v>
      </c>
      <c r="I11" s="1">
        <v>30</v>
      </c>
      <c r="J11" s="1">
        <f t="shared" si="0"/>
        <v>298</v>
      </c>
      <c r="K11" s="3">
        <f t="shared" si="1"/>
        <v>49.666666666666664</v>
      </c>
    </row>
    <row r="12" spans="1:11" x14ac:dyDescent="0.35">
      <c r="A12" s="2">
        <v>9</v>
      </c>
      <c r="B12" s="1" t="s">
        <v>24</v>
      </c>
      <c r="C12" s="1" t="s">
        <v>25</v>
      </c>
      <c r="D12" s="1">
        <v>66</v>
      </c>
      <c r="E12" s="1">
        <v>11</v>
      </c>
      <c r="F12" s="1">
        <v>45</v>
      </c>
      <c r="G12" s="1">
        <v>0</v>
      </c>
      <c r="H12" s="1">
        <v>90</v>
      </c>
      <c r="I12" s="1">
        <v>21</v>
      </c>
      <c r="J12" s="1">
        <f t="shared" si="0"/>
        <v>233</v>
      </c>
      <c r="K12" s="3">
        <f t="shared" si="1"/>
        <v>38.833333333333336</v>
      </c>
    </row>
    <row r="13" spans="1:11" ht="15" thickBot="1" x14ac:dyDescent="0.4">
      <c r="A13" s="4">
        <v>10</v>
      </c>
      <c r="B13" s="5"/>
      <c r="C13" s="5"/>
      <c r="D13" s="5">
        <v>41</v>
      </c>
      <c r="E13" s="5">
        <v>75</v>
      </c>
      <c r="F13" s="5">
        <v>44</v>
      </c>
      <c r="G13" s="5">
        <v>94</v>
      </c>
      <c r="H13" s="5">
        <v>81</v>
      </c>
      <c r="I13" s="5">
        <v>83</v>
      </c>
      <c r="J13" s="5">
        <f t="shared" si="0"/>
        <v>418</v>
      </c>
      <c r="K13" s="6">
        <f>(J13/6)</f>
        <v>69.666666666666671</v>
      </c>
    </row>
  </sheetData>
  <mergeCells count="1">
    <mergeCell ref="A1:K2"/>
  </mergeCells>
  <phoneticPr fontId="1" type="noConversion"/>
  <conditionalFormatting sqref="D4:D13">
    <cfRule type="cellIs" dxfId="5" priority="4" operator="greaterThan">
      <formula>20</formula>
    </cfRule>
  </conditionalFormatting>
  <conditionalFormatting sqref="G4:G13">
    <cfRule type="top10" dxfId="4" priority="3" rank="4"/>
  </conditionalFormatting>
  <conditionalFormatting sqref="I4:I1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{518749FD-414E-4653-B5D4-FA8E3AF4DDBF}</x14:id>
        </ext>
      </extLst>
    </cfRule>
  </conditionalFormatting>
  <conditionalFormatting sqref="K4:K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18749FD-414E-4653-B5D4-FA8E3AF4DD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24E3D-317A-47FF-A50B-EA6D172855A5}">
  <dimension ref="A1:K13"/>
  <sheetViews>
    <sheetView tabSelected="1" workbookViewId="0">
      <selection activeCell="O7" sqref="O7"/>
    </sheetView>
  </sheetViews>
  <sheetFormatPr defaultRowHeight="14.5" x14ac:dyDescent="0.35"/>
  <cols>
    <col min="2" max="2" width="10.54296875" bestFit="1" customWidth="1"/>
    <col min="9" max="9" width="11.6328125" customWidth="1"/>
    <col min="11" max="11" width="10.08984375" bestFit="1" customWidth="1"/>
  </cols>
  <sheetData>
    <row r="1" spans="1:11" x14ac:dyDescent="0.35">
      <c r="A1" s="12" t="s">
        <v>12</v>
      </c>
      <c r="B1" s="7"/>
      <c r="C1" s="7"/>
      <c r="D1" s="7"/>
      <c r="E1" s="7"/>
      <c r="F1" s="7"/>
      <c r="G1" s="7"/>
      <c r="H1" s="7"/>
      <c r="I1" s="7"/>
      <c r="J1" s="7"/>
      <c r="K1" s="8"/>
    </row>
    <row r="2" spans="1:11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1"/>
    </row>
    <row r="3" spans="1:11" x14ac:dyDescent="0.35">
      <c r="A3" s="13" t="s">
        <v>1</v>
      </c>
      <c r="B3" s="14" t="s">
        <v>2</v>
      </c>
      <c r="C3" s="14" t="s">
        <v>3</v>
      </c>
      <c r="D3" s="14" t="s">
        <v>4</v>
      </c>
      <c r="E3" s="14" t="s">
        <v>5</v>
      </c>
      <c r="F3" s="14" t="s">
        <v>6</v>
      </c>
      <c r="G3" s="14" t="s">
        <v>7</v>
      </c>
      <c r="H3" s="14" t="s">
        <v>8</v>
      </c>
      <c r="I3" s="14" t="s">
        <v>9</v>
      </c>
      <c r="J3" s="14" t="s">
        <v>10</v>
      </c>
      <c r="K3" s="15" t="s">
        <v>11</v>
      </c>
    </row>
    <row r="4" spans="1:11" x14ac:dyDescent="0.35">
      <c r="A4" s="2">
        <v>1</v>
      </c>
      <c r="B4" s="1" t="s">
        <v>13</v>
      </c>
      <c r="C4" s="1" t="s">
        <v>0</v>
      </c>
      <c r="D4" s="1">
        <v>45</v>
      </c>
      <c r="E4" s="1">
        <v>10</v>
      </c>
      <c r="F4" s="1">
        <v>53</v>
      </c>
      <c r="G4" s="1">
        <v>38</v>
      </c>
      <c r="H4" s="1">
        <v>63</v>
      </c>
      <c r="I4" s="1">
        <v>86</v>
      </c>
      <c r="J4" s="1">
        <f>SUM(D4:I4)</f>
        <v>295</v>
      </c>
      <c r="K4" s="3">
        <f>(J4/6)</f>
        <v>49.166666666666664</v>
      </c>
    </row>
    <row r="5" spans="1:11" x14ac:dyDescent="0.35">
      <c r="A5" s="2">
        <v>2</v>
      </c>
      <c r="B5" s="1" t="s">
        <v>14</v>
      </c>
      <c r="C5" s="1" t="s">
        <v>0</v>
      </c>
      <c r="D5" s="1">
        <v>91</v>
      </c>
      <c r="E5" s="1">
        <v>61</v>
      </c>
      <c r="F5" s="1">
        <v>37</v>
      </c>
      <c r="G5" s="1">
        <v>45</v>
      </c>
      <c r="H5" s="1">
        <v>29</v>
      </c>
      <c r="I5" s="1">
        <v>38</v>
      </c>
      <c r="J5" s="1">
        <f t="shared" ref="J5:J13" si="0">SUM(D5:I5)</f>
        <v>301</v>
      </c>
      <c r="K5" s="3">
        <f t="shared" ref="K5:K12" si="1">(J5/6)</f>
        <v>50.166666666666664</v>
      </c>
    </row>
    <row r="6" spans="1:11" x14ac:dyDescent="0.35">
      <c r="A6" s="2">
        <v>3</v>
      </c>
      <c r="B6" s="1" t="s">
        <v>15</v>
      </c>
      <c r="C6" s="1" t="s">
        <v>0</v>
      </c>
      <c r="D6" s="1">
        <v>59</v>
      </c>
      <c r="E6" s="1">
        <v>60</v>
      </c>
      <c r="F6" s="1">
        <v>57</v>
      </c>
      <c r="G6" s="1">
        <v>22</v>
      </c>
      <c r="H6" s="1">
        <v>19</v>
      </c>
      <c r="I6" s="1">
        <v>57</v>
      </c>
      <c r="J6" s="1">
        <f t="shared" si="0"/>
        <v>274</v>
      </c>
      <c r="K6" s="3">
        <f t="shared" si="1"/>
        <v>45.666666666666664</v>
      </c>
    </row>
    <row r="7" spans="1:11" x14ac:dyDescent="0.35">
      <c r="A7" s="2">
        <v>4</v>
      </c>
      <c r="B7" s="1" t="s">
        <v>16</v>
      </c>
      <c r="C7" s="1" t="s">
        <v>0</v>
      </c>
      <c r="D7" s="1">
        <v>88</v>
      </c>
      <c r="E7" s="1">
        <v>64</v>
      </c>
      <c r="F7" s="1">
        <v>71</v>
      </c>
      <c r="G7" s="1">
        <v>93</v>
      </c>
      <c r="H7" s="1">
        <v>42</v>
      </c>
      <c r="I7" s="1">
        <v>81</v>
      </c>
      <c r="J7" s="1">
        <f t="shared" si="0"/>
        <v>439</v>
      </c>
      <c r="K7" s="3">
        <f t="shared" si="1"/>
        <v>73.166666666666671</v>
      </c>
    </row>
    <row r="8" spans="1:11" x14ac:dyDescent="0.35">
      <c r="A8" s="2">
        <v>5</v>
      </c>
      <c r="B8" s="1" t="s">
        <v>17</v>
      </c>
      <c r="C8" s="1" t="s">
        <v>0</v>
      </c>
      <c r="D8" s="1">
        <v>33</v>
      </c>
      <c r="E8" s="1">
        <v>40</v>
      </c>
      <c r="F8" s="1">
        <v>31</v>
      </c>
      <c r="G8" s="1">
        <v>10</v>
      </c>
      <c r="H8" s="1">
        <v>4</v>
      </c>
      <c r="I8" s="1">
        <v>13</v>
      </c>
      <c r="J8" s="1">
        <f t="shared" si="0"/>
        <v>131</v>
      </c>
      <c r="K8" s="3">
        <f t="shared" si="1"/>
        <v>21.833333333333332</v>
      </c>
    </row>
    <row r="9" spans="1:11" x14ac:dyDescent="0.35">
      <c r="A9" s="2">
        <v>6</v>
      </c>
      <c r="B9" s="1" t="s">
        <v>18</v>
      </c>
      <c r="C9" s="1" t="s">
        <v>0</v>
      </c>
      <c r="D9" s="1">
        <v>78</v>
      </c>
      <c r="E9" s="1">
        <v>94</v>
      </c>
      <c r="F9" s="1">
        <v>8</v>
      </c>
      <c r="G9" s="1">
        <v>28</v>
      </c>
      <c r="H9" s="1">
        <v>23</v>
      </c>
      <c r="I9" s="1">
        <v>54</v>
      </c>
      <c r="J9" s="1">
        <f t="shared" si="0"/>
        <v>285</v>
      </c>
      <c r="K9" s="3">
        <f t="shared" si="1"/>
        <v>47.5</v>
      </c>
    </row>
    <row r="10" spans="1:11" x14ac:dyDescent="0.35">
      <c r="A10" s="2">
        <v>7</v>
      </c>
      <c r="B10" s="1" t="s">
        <v>19</v>
      </c>
      <c r="C10" s="1" t="s">
        <v>0</v>
      </c>
      <c r="D10" s="1">
        <v>76</v>
      </c>
      <c r="E10" s="1">
        <v>55</v>
      </c>
      <c r="F10" s="1">
        <v>97</v>
      </c>
      <c r="G10" s="1">
        <v>76</v>
      </c>
      <c r="H10" s="1">
        <v>92</v>
      </c>
      <c r="I10" s="1">
        <v>8</v>
      </c>
      <c r="J10" s="1">
        <f t="shared" si="0"/>
        <v>404</v>
      </c>
      <c r="K10" s="3">
        <f t="shared" si="1"/>
        <v>67.333333333333329</v>
      </c>
    </row>
    <row r="11" spans="1:11" x14ac:dyDescent="0.35">
      <c r="A11" s="2">
        <v>8</v>
      </c>
      <c r="B11" s="1" t="s">
        <v>20</v>
      </c>
      <c r="C11" s="1" t="s">
        <v>0</v>
      </c>
      <c r="D11" s="1">
        <v>68</v>
      </c>
      <c r="E11" s="1">
        <v>13</v>
      </c>
      <c r="F11" s="1">
        <v>92</v>
      </c>
      <c r="G11" s="1">
        <v>70</v>
      </c>
      <c r="H11" s="1">
        <v>37</v>
      </c>
      <c r="I11" s="1">
        <v>49</v>
      </c>
      <c r="J11" s="1">
        <f t="shared" si="0"/>
        <v>329</v>
      </c>
      <c r="K11" s="3">
        <f t="shared" si="1"/>
        <v>54.833333333333336</v>
      </c>
    </row>
    <row r="12" spans="1:11" x14ac:dyDescent="0.35">
      <c r="A12" s="2">
        <v>9</v>
      </c>
      <c r="B12" s="1"/>
      <c r="C12" s="1"/>
      <c r="D12" s="1">
        <v>66</v>
      </c>
      <c r="E12" s="1">
        <v>11</v>
      </c>
      <c r="F12" s="1">
        <v>31</v>
      </c>
      <c r="G12" s="1">
        <v>100</v>
      </c>
      <c r="H12" s="1">
        <v>86</v>
      </c>
      <c r="I12" s="1">
        <v>78</v>
      </c>
      <c r="J12" s="1">
        <f t="shared" si="0"/>
        <v>372</v>
      </c>
      <c r="K12" s="3">
        <f t="shared" si="1"/>
        <v>62</v>
      </c>
    </row>
    <row r="13" spans="1:11" ht="15" thickBot="1" x14ac:dyDescent="0.4">
      <c r="A13" s="4">
        <v>10</v>
      </c>
      <c r="B13" s="5"/>
      <c r="C13" s="5"/>
      <c r="D13" s="5">
        <v>44</v>
      </c>
      <c r="E13" s="5">
        <v>13</v>
      </c>
      <c r="F13" s="5">
        <v>47</v>
      </c>
      <c r="G13" s="5">
        <v>29</v>
      </c>
      <c r="H13" s="5">
        <v>11</v>
      </c>
      <c r="I13" s="5">
        <v>1</v>
      </c>
      <c r="J13" s="5">
        <f t="shared" si="0"/>
        <v>145</v>
      </c>
      <c r="K13" s="6">
        <f>(J13/6)</f>
        <v>24.166666666666668</v>
      </c>
    </row>
  </sheetData>
  <mergeCells count="1">
    <mergeCell ref="A1:K2"/>
  </mergeCells>
  <phoneticPr fontId="1" type="noConversion"/>
  <conditionalFormatting sqref="D4:D13">
    <cfRule type="cellIs" dxfId="1" priority="4" operator="greaterThan">
      <formula>20</formula>
    </cfRule>
  </conditionalFormatting>
  <conditionalFormatting sqref="G4:G13">
    <cfRule type="top10" dxfId="0" priority="3" rank="4"/>
  </conditionalFormatting>
  <conditionalFormatting sqref="I4:I1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{A3B5B259-3E80-4422-BCA2-629340198363}</x14:id>
        </ext>
      </extLst>
    </cfRule>
  </conditionalFormatting>
  <conditionalFormatting sqref="K4:K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B5B259-3E80-4422-BCA2-6293401983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I4:I13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2025-01-08T11:05:52Z</dcterms:created>
  <dcterms:modified xsi:type="dcterms:W3CDTF">2025-01-08T11:33:22Z</dcterms:modified>
</cp:coreProperties>
</file>